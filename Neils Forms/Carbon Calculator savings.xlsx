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teve\carbon-calculator-portal\Neils Forms\"/>
    </mc:Choice>
  </mc:AlternateContent>
  <xr:revisionPtr revIDLastSave="0" documentId="13_ncr:1_{2AFDA531-A151-4CDE-ABE6-2AA8656894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culator" sheetId="1" r:id="rId1"/>
    <sheet name="Calcul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Y/AVW2wYTEoJ8ak1I1A8EXCcrt8Xj9YEhXTn/BJ88I="/>
    </ext>
  </extLst>
</workbook>
</file>

<file path=xl/calcChain.xml><?xml version="1.0" encoding="utf-8"?>
<calcChain xmlns="http://schemas.openxmlformats.org/spreadsheetml/2006/main">
  <c r="E11" i="2" l="1"/>
  <c r="B24" i="1"/>
  <c r="E24" i="1" s="1"/>
  <c r="B21" i="1"/>
  <c r="B18" i="1"/>
  <c r="B15" i="1"/>
  <c r="A13" i="2" s="1"/>
  <c r="E15" i="1" s="1"/>
  <c r="B12" i="1"/>
  <c r="B9" i="1"/>
</calcChain>
</file>

<file path=xl/sharedStrings.xml><?xml version="1.0" encoding="utf-8"?>
<sst xmlns="http://schemas.openxmlformats.org/spreadsheetml/2006/main" count="48" uniqueCount="46">
  <si>
    <t>Insert tonnes of CO2 here:</t>
  </si>
  <si>
    <t>Tonnes of CO2</t>
  </si>
  <si>
    <t xml:space="preserve">The number of return flights from London to Sydney </t>
  </si>
  <si>
    <t>The number of people's yearly carbon footprint</t>
  </si>
  <si>
    <t>Number of UK houses you can heat for a year</t>
  </si>
  <si>
    <t>The number of traditional incandescent bulb's you can use for an eight hour period</t>
  </si>
  <si>
    <t>Co2</t>
  </si>
  <si>
    <t>In Tonnes</t>
  </si>
  <si>
    <t>Source</t>
  </si>
  <si>
    <t>Return Flight To Sydney</t>
  </si>
  <si>
    <t>1577.9 kg</t>
  </si>
  <si>
    <t>ICAO</t>
  </si>
  <si>
    <t>https://www.icao.int/environmental-protection/Carbonoffset/Pages/default.aspx</t>
  </si>
  <si>
    <t>Average Person</t>
  </si>
  <si>
    <t>12.7 Tonnes</t>
  </si>
  <si>
    <t>Pawprint</t>
  </si>
  <si>
    <t>https://www.pawprint.eco/eco-blog/average-carbon-footprint-uk</t>
  </si>
  <si>
    <t>Miles in an Average Car Per Year</t>
  </si>
  <si>
    <t>228g</t>
  </si>
  <si>
    <t>Statista</t>
  </si>
  <si>
    <t>https://www.statista.com/statistics/299282/average-co2-emissions-from-new-cars-in-the-united-kingdom/</t>
  </si>
  <si>
    <t>Average UK House Heating</t>
  </si>
  <si>
    <t>2.7Tonnes</t>
  </si>
  <si>
    <t>CITU</t>
  </si>
  <si>
    <t>https://citu.co.uk/citu-live/what-is-the-carbon-footprint-of-a-house</t>
  </si>
  <si>
    <t>500 Fire extinguishers</t>
  </si>
  <si>
    <t>climateneutralgroup</t>
  </si>
  <si>
    <t>https://www.climateneutralgroup.com/en/news/what-exactly-is-1-tonne-of-co2/</t>
  </si>
  <si>
    <t>50 Trees</t>
  </si>
  <si>
    <t>Trees</t>
  </si>
  <si>
    <t>1 hectare is 350 tonnes, 2500 trees</t>
  </si>
  <si>
    <t>Woodland Carbon</t>
  </si>
  <si>
    <t>https://www.woodlandcarboncode.org.uk/standard-and-guidance/2-project-governance/2-5-monitoring</t>
  </si>
  <si>
    <t>Wembley stadium volume</t>
  </si>
  <si>
    <t>1,139,100 m3</t>
  </si>
  <si>
    <t>wembleystadium.com</t>
  </si>
  <si>
    <t>https://www.wembleystadium.com/about/stadium-facts-and-features</t>
  </si>
  <si>
    <t>Miles round the world</t>
  </si>
  <si>
    <t>Time around the world</t>
  </si>
  <si>
    <t>Cost of carbon per tonne</t>
  </si>
  <si>
    <t>Paul McCaffrey</t>
  </si>
  <si>
    <t>Lighbulbs</t>
  </si>
  <si>
    <t>traditional incandescent bulb which uses 0.06kWh, used for 8 hours a day</t>
  </si>
  <si>
    <t>https://www.ovoenergy.com/guides/energy-guides/how-much-electricity-does-a-home-use</t>
  </si>
  <si>
    <t>Is equivalent to:</t>
  </si>
  <si>
    <t>What is 21t saving equivalent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</si>
</sst>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8"/>
      <color rgb="FFFFFFFF"/>
      <name val="Calibri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</font>
    <font>
      <sz val="20"/>
      <color theme="0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rgb="FF1155CC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  <scheme val="minor"/>
    </font>
    <font>
      <b/>
      <sz val="12"/>
      <color theme="1"/>
      <name val="Calibri"/>
      <family val="2"/>
    </font>
    <font>
      <b/>
      <sz val="18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0" borderId="8" xfId="0" applyFont="1" applyBorder="1"/>
    <xf numFmtId="0" fontId="9" fillId="0" borderId="8" xfId="0" applyFont="1" applyBorder="1"/>
    <xf numFmtId="0" fontId="10" fillId="0" borderId="8" xfId="0" applyFont="1" applyBorder="1"/>
    <xf numFmtId="0" fontId="1" fillId="0" borderId="9" xfId="0" applyFont="1" applyBorder="1"/>
    <xf numFmtId="0" fontId="11" fillId="0" borderId="0" xfId="0" applyFont="1"/>
    <xf numFmtId="0" fontId="12" fillId="0" borderId="0" xfId="0" applyFont="1"/>
    <xf numFmtId="0" fontId="1" fillId="0" borderId="10" xfId="0" applyFont="1" applyBorder="1"/>
    <xf numFmtId="0" fontId="13" fillId="0" borderId="10" xfId="0" applyFont="1" applyBorder="1"/>
    <xf numFmtId="0" fontId="11" fillId="0" borderId="11" xfId="0" applyFont="1" applyBorder="1"/>
    <xf numFmtId="0" fontId="14" fillId="0" borderId="11" xfId="0" applyFont="1" applyBorder="1"/>
    <xf numFmtId="0" fontId="15" fillId="0" borderId="11" xfId="0" applyFont="1" applyBorder="1"/>
    <xf numFmtId="3" fontId="1" fillId="0" borderId="0" xfId="0" applyNumberFormat="1" applyFont="1"/>
    <xf numFmtId="0" fontId="16" fillId="0" borderId="0" xfId="0" applyFont="1"/>
    <xf numFmtId="0" fontId="17" fillId="0" borderId="0" xfId="0" applyFont="1"/>
    <xf numFmtId="0" fontId="1" fillId="2" borderId="7" xfId="0" applyFont="1" applyFill="1" applyBorder="1"/>
    <xf numFmtId="0" fontId="6" fillId="2" borderId="7" xfId="0" applyFont="1" applyFill="1" applyBorder="1"/>
    <xf numFmtId="0" fontId="18" fillId="2" borderId="1" xfId="0" applyFont="1" applyFill="1" applyBorder="1"/>
    <xf numFmtId="0" fontId="1" fillId="2" borderId="15" xfId="0" applyFont="1" applyFill="1" applyBorder="1"/>
    <xf numFmtId="0" fontId="0" fillId="0" borderId="7" xfId="0" applyBorder="1"/>
    <xf numFmtId="0" fontId="1" fillId="2" borderId="16" xfId="0" applyFont="1" applyFill="1" applyBorder="1"/>
    <xf numFmtId="0" fontId="1" fillId="2" borderId="7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3" fontId="3" fillId="3" borderId="2" xfId="0" applyNumberFormat="1" applyFont="1" applyFill="1" applyBorder="1" applyAlignment="1">
      <alignment horizontal="center" vertical="center"/>
    </xf>
    <xf numFmtId="3" fontId="4" fillId="0" borderId="3" xfId="0" applyNumberFormat="1" applyFont="1" applyBorder="1"/>
    <xf numFmtId="0" fontId="5" fillId="2" borderId="4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19" fillId="2" borderId="12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3" fontId="7" fillId="4" borderId="15" xfId="0" applyNumberFormat="1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15" xfId="0" applyFont="1" applyBorder="1"/>
    <xf numFmtId="0" fontId="1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8" fillId="2" borderId="7" xfId="0" applyFont="1" applyFill="1" applyBorder="1" applyAlignment="1">
      <alignment horizontal="center"/>
    </xf>
    <xf numFmtId="0" fontId="4" fillId="0" borderId="17" xfId="0" applyFont="1" applyBorder="1"/>
    <xf numFmtId="0" fontId="4" fillId="0" borderId="18" xfId="0" applyFont="1" applyBorder="1"/>
    <xf numFmtId="0" fontId="1" fillId="2" borderId="7" xfId="0" applyFont="1" applyFill="1" applyBorder="1" applyAlignment="1">
      <alignment horizontal="center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8</xdr:row>
      <xdr:rowOff>99060</xdr:rowOff>
    </xdr:from>
    <xdr:ext cx="180975" cy="1809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08860" y="1501140"/>
          <a:ext cx="180975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76200</xdr:rowOff>
    </xdr:from>
    <xdr:ext cx="161925" cy="180975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08860" y="2004060"/>
          <a:ext cx="161925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121920</xdr:rowOff>
    </xdr:from>
    <xdr:ext cx="219075" cy="180975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308860" y="2575560"/>
          <a:ext cx="219075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76200</xdr:rowOff>
    </xdr:from>
    <xdr:ext cx="228600" cy="180975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308860" y="3055620"/>
          <a:ext cx="22860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</xdr:colOff>
      <xdr:row>20</xdr:row>
      <xdr:rowOff>91440</xdr:rowOff>
    </xdr:from>
    <xdr:ext cx="95250" cy="1809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354580" y="3596640"/>
          <a:ext cx="9525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</xdr:colOff>
      <xdr:row>23</xdr:row>
      <xdr:rowOff>99060</xdr:rowOff>
    </xdr:from>
    <xdr:ext cx="152400" cy="180975"/>
    <xdr:pic>
      <xdr:nvPicPr>
        <xdr:cNvPr id="8" name="image6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324100" y="4130040"/>
          <a:ext cx="152400" cy="180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embleystadium.com/" TargetMode="External"/><Relationship Id="rId3" Type="http://schemas.openxmlformats.org/officeDocument/2006/relationships/hyperlink" Target="https://www.statista.com/statistics/299282/average-co2-emissions-from-new-cars-in-the-united-kingdom/" TargetMode="External"/><Relationship Id="rId7" Type="http://schemas.openxmlformats.org/officeDocument/2006/relationships/hyperlink" Target="https://www.woodlandcarboncode.org.uk/standard-and-guidance/2-project-governance/2-5-monitoring" TargetMode="External"/><Relationship Id="rId2" Type="http://schemas.openxmlformats.org/officeDocument/2006/relationships/hyperlink" Target="https://www.pawprint.eco/eco-blog/average-carbon-footprint-uk" TargetMode="External"/><Relationship Id="rId1" Type="http://schemas.openxmlformats.org/officeDocument/2006/relationships/hyperlink" Target="https://www.icao.int/environmental-protection/Carbonoffset/Pages/default.aspx" TargetMode="External"/><Relationship Id="rId6" Type="http://schemas.openxmlformats.org/officeDocument/2006/relationships/hyperlink" Target="https://www.climateneutralgroup.com/en/news/what-exactly-is-1-tonne-of-co2/" TargetMode="External"/><Relationship Id="rId5" Type="http://schemas.openxmlformats.org/officeDocument/2006/relationships/hyperlink" Target="https://www.climateneutralgroup.com/en/news/what-exactly-is-1-tonne-of-co2/" TargetMode="External"/><Relationship Id="rId10" Type="http://schemas.openxmlformats.org/officeDocument/2006/relationships/hyperlink" Target="https://www.ovoenergy.com/guides/energy-guides/how-much-electricity-does-a-home-use" TargetMode="External"/><Relationship Id="rId4" Type="http://schemas.openxmlformats.org/officeDocument/2006/relationships/hyperlink" Target="https://citu.co.uk/citu-live/what-is-the-carbon-footprint-of-a-house" TargetMode="External"/><Relationship Id="rId9" Type="http://schemas.openxmlformats.org/officeDocument/2006/relationships/hyperlink" Target="https://www.wembleystadium.com/about/stadium-facts-and-fea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>
      <selection activeCell="B24" sqref="B24:C25"/>
    </sheetView>
  </sheetViews>
  <sheetFormatPr defaultColWidth="14.42578125" defaultRowHeight="15" customHeight="1" x14ac:dyDescent="0.25"/>
  <cols>
    <col min="1" max="2" width="8.7109375" customWidth="1"/>
    <col min="3" max="3" width="16.28515625" customWidth="1"/>
    <col min="4" max="11" width="8.7109375" customWidth="1"/>
    <col min="12" max="12" width="23.85546875" customWidth="1"/>
    <col min="13" max="26" width="8.710937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2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25">
        <v>21</v>
      </c>
      <c r="F3" s="26"/>
      <c r="G3" s="27" t="s">
        <v>1</v>
      </c>
      <c r="H3" s="28"/>
      <c r="I3" s="28"/>
      <c r="J3" s="28"/>
      <c r="K3" s="28"/>
      <c r="L3" s="2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1"/>
      <c r="C5" s="1"/>
      <c r="D5" s="1"/>
      <c r="E5" s="1"/>
      <c r="F5" s="1"/>
      <c r="G5" s="1"/>
      <c r="H5" s="1"/>
      <c r="I5" s="19" t="s">
        <v>44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thickBot="1" x14ac:dyDescent="0.3">
      <c r="A6" s="17"/>
      <c r="B6" s="17"/>
      <c r="C6" s="17"/>
      <c r="D6" s="17"/>
      <c r="E6" s="17"/>
      <c r="F6" s="17"/>
      <c r="G6" s="17"/>
      <c r="H6" s="17"/>
      <c r="I6" s="18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21.6" customHeight="1" thickBot="1" x14ac:dyDescent="0.3">
      <c r="A7" s="17"/>
      <c r="B7" s="30" t="s">
        <v>45</v>
      </c>
      <c r="C7" s="31"/>
      <c r="D7" s="31"/>
      <c r="E7" s="31"/>
      <c r="F7" s="31"/>
      <c r="G7" s="31"/>
      <c r="H7" s="31"/>
      <c r="I7" s="31"/>
      <c r="J7" s="31"/>
      <c r="K7" s="31"/>
      <c r="L7" s="32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 x14ac:dyDescent="0.25">
      <c r="A8" s="1"/>
      <c r="B8" s="20"/>
      <c r="C8" s="17"/>
      <c r="D8" s="21"/>
      <c r="E8" s="17"/>
      <c r="F8" s="17"/>
      <c r="G8" s="17"/>
      <c r="H8" s="17"/>
      <c r="I8" s="17"/>
      <c r="J8" s="17"/>
      <c r="K8" s="17"/>
      <c r="L8" s="2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"/>
      <c r="B9" s="33">
        <f>E3/Calculations!C2</f>
        <v>13.308828189365611</v>
      </c>
      <c r="C9" s="34"/>
      <c r="D9" s="36"/>
      <c r="E9" s="37" t="s">
        <v>2</v>
      </c>
      <c r="F9" s="38"/>
      <c r="G9" s="38"/>
      <c r="H9" s="38"/>
      <c r="I9" s="38"/>
      <c r="J9" s="38"/>
      <c r="K9" s="38"/>
      <c r="L9" s="3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35"/>
      <c r="C10" s="34"/>
      <c r="D10" s="34"/>
      <c r="E10" s="38"/>
      <c r="F10" s="38"/>
      <c r="G10" s="38"/>
      <c r="H10" s="38"/>
      <c r="I10" s="38"/>
      <c r="J10" s="38"/>
      <c r="K10" s="38"/>
      <c r="L10" s="3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20"/>
      <c r="C11" s="17"/>
      <c r="D11" s="17"/>
      <c r="E11" s="23"/>
      <c r="F11" s="23"/>
      <c r="G11" s="23"/>
      <c r="H11" s="23"/>
      <c r="I11" s="23"/>
      <c r="J11" s="23"/>
      <c r="K11" s="23"/>
      <c r="L11" s="2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33">
        <f>E3/Calculations!C3</f>
        <v>1.6535433070866143</v>
      </c>
      <c r="C12" s="34"/>
      <c r="D12" s="40"/>
      <c r="E12" s="37" t="s">
        <v>3</v>
      </c>
      <c r="F12" s="38"/>
      <c r="G12" s="38"/>
      <c r="H12" s="38"/>
      <c r="I12" s="38"/>
      <c r="J12" s="38"/>
      <c r="K12" s="38"/>
      <c r="L12" s="3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/>
      <c r="B13" s="35"/>
      <c r="C13" s="34"/>
      <c r="D13" s="34"/>
      <c r="E13" s="38"/>
      <c r="F13" s="38"/>
      <c r="G13" s="38"/>
      <c r="H13" s="38"/>
      <c r="I13" s="38"/>
      <c r="J13" s="38"/>
      <c r="K13" s="38"/>
      <c r="L13" s="3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20"/>
      <c r="C14" s="17"/>
      <c r="D14" s="17"/>
      <c r="E14" s="23"/>
      <c r="F14" s="23"/>
      <c r="G14" s="23"/>
      <c r="H14" s="23"/>
      <c r="I14" s="23"/>
      <c r="J14" s="23"/>
      <c r="K14" s="23"/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33">
        <f>E3/Calculations!C4</f>
        <v>92105.263157894733</v>
      </c>
      <c r="C15" s="34"/>
      <c r="D15" s="43"/>
      <c r="E15" s="37" t="str">
        <f>"Number of miles a car can travel in a year. This equates to"&amp; " " &amp;INT(Calculations!A13) &amp;" times around the earth"</f>
        <v>Number of miles a car can travel in a year. This equates to 3 times around the earth</v>
      </c>
      <c r="F15" s="38"/>
      <c r="G15" s="38"/>
      <c r="H15" s="38"/>
      <c r="I15" s="38"/>
      <c r="J15" s="38"/>
      <c r="K15" s="38"/>
      <c r="L15" s="3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35"/>
      <c r="C16" s="34"/>
      <c r="D16" s="34"/>
      <c r="E16" s="38"/>
      <c r="F16" s="38"/>
      <c r="G16" s="38"/>
      <c r="H16" s="38"/>
      <c r="I16" s="38"/>
      <c r="J16" s="38"/>
      <c r="K16" s="38"/>
      <c r="L16" s="3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20"/>
      <c r="C17" s="17"/>
      <c r="D17" s="17"/>
      <c r="E17" s="23"/>
      <c r="F17" s="23"/>
      <c r="G17" s="23"/>
      <c r="H17" s="23"/>
      <c r="I17" s="23"/>
      <c r="J17" s="23"/>
      <c r="K17" s="23"/>
      <c r="L17" s="2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33">
        <f>E3/Calculations!C5</f>
        <v>7.7777777777777777</v>
      </c>
      <c r="C18" s="34"/>
      <c r="D18" s="43"/>
      <c r="E18" s="37" t="s">
        <v>4</v>
      </c>
      <c r="F18" s="38"/>
      <c r="G18" s="38"/>
      <c r="H18" s="38"/>
      <c r="I18" s="38"/>
      <c r="J18" s="38"/>
      <c r="K18" s="38"/>
      <c r="L18" s="3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35"/>
      <c r="C19" s="34"/>
      <c r="D19" s="34"/>
      <c r="E19" s="38"/>
      <c r="F19" s="38"/>
      <c r="G19" s="38"/>
      <c r="H19" s="38"/>
      <c r="I19" s="38"/>
      <c r="J19" s="38"/>
      <c r="K19" s="38"/>
      <c r="L19" s="3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20"/>
      <c r="C20" s="17"/>
      <c r="D20" s="17"/>
      <c r="E20" s="23"/>
      <c r="F20" s="23"/>
      <c r="G20" s="23"/>
      <c r="H20" s="23"/>
      <c r="I20" s="23"/>
      <c r="J20" s="23"/>
      <c r="K20" s="23"/>
      <c r="L20" s="2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33">
        <f>E3/Calculations!C16</f>
        <v>1230.8984922443021</v>
      </c>
      <c r="C21" s="34"/>
      <c r="D21" s="43"/>
      <c r="E21" s="37" t="s">
        <v>5</v>
      </c>
      <c r="F21" s="38"/>
      <c r="G21" s="38"/>
      <c r="H21" s="38"/>
      <c r="I21" s="38"/>
      <c r="J21" s="38"/>
      <c r="K21" s="38"/>
      <c r="L21" s="3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35"/>
      <c r="C22" s="34"/>
      <c r="D22" s="34"/>
      <c r="E22" s="38"/>
      <c r="F22" s="38"/>
      <c r="G22" s="38"/>
      <c r="H22" s="38"/>
      <c r="I22" s="38"/>
      <c r="J22" s="38"/>
      <c r="K22" s="38"/>
      <c r="L22" s="3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20"/>
      <c r="C23" s="17"/>
      <c r="D23" s="17"/>
      <c r="E23" s="23"/>
      <c r="F23" s="23"/>
      <c r="G23" s="23"/>
      <c r="H23" s="23"/>
      <c r="I23" s="23"/>
      <c r="J23" s="23"/>
      <c r="K23" s="23"/>
      <c r="L23" s="2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33">
        <f>E3/Calculations!C8</f>
        <v>149.99999999999997</v>
      </c>
      <c r="C24" s="34"/>
      <c r="D24" s="43"/>
      <c r="E24" s="37" t="str">
        <f>"Number of trees it would  take to offset the carbon. This equates to"&amp; " " &amp;INT(B24/300) &amp;" football pitches"</f>
        <v>Number of trees it would  take to offset the carbon. This equates to 0 football pitches</v>
      </c>
      <c r="F24" s="38"/>
      <c r="G24" s="38"/>
      <c r="H24" s="38"/>
      <c r="I24" s="38"/>
      <c r="J24" s="38"/>
      <c r="K24" s="38"/>
      <c r="L24" s="3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thickBot="1" x14ac:dyDescent="0.3">
      <c r="A25" s="1"/>
      <c r="B25" s="41"/>
      <c r="C25" s="42"/>
      <c r="D25" s="42"/>
      <c r="E25" s="44"/>
      <c r="F25" s="44"/>
      <c r="G25" s="44"/>
      <c r="H25" s="44"/>
      <c r="I25" s="44"/>
      <c r="J25" s="44"/>
      <c r="K25" s="44"/>
      <c r="L25" s="4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21">
    <mergeCell ref="D12:D13"/>
    <mergeCell ref="E12:L13"/>
    <mergeCell ref="B24:C25"/>
    <mergeCell ref="D24:D25"/>
    <mergeCell ref="E24:L25"/>
    <mergeCell ref="B12:C13"/>
    <mergeCell ref="B15:C16"/>
    <mergeCell ref="D15:D16"/>
    <mergeCell ref="B18:C19"/>
    <mergeCell ref="D18:D19"/>
    <mergeCell ref="B21:C22"/>
    <mergeCell ref="D21:D22"/>
    <mergeCell ref="E15:L16"/>
    <mergeCell ref="E18:L19"/>
    <mergeCell ref="E21:L22"/>
    <mergeCell ref="E3:F3"/>
    <mergeCell ref="G3:L3"/>
    <mergeCell ref="B7:L7"/>
    <mergeCell ref="B9:C10"/>
    <mergeCell ref="D9:D10"/>
    <mergeCell ref="E9:L10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9"/>
  <sheetViews>
    <sheetView workbookViewId="0">
      <selection activeCell="A13" sqref="A13"/>
    </sheetView>
  </sheetViews>
  <sheetFormatPr defaultColWidth="14.42578125" defaultRowHeight="15" customHeight="1" x14ac:dyDescent="0.25"/>
  <cols>
    <col min="1" max="1" width="35.85546875" customWidth="1"/>
    <col min="2" max="2" width="67.140625" customWidth="1"/>
    <col min="3" max="3" width="13.28515625" customWidth="1"/>
    <col min="4" max="4" width="19.85546875" customWidth="1"/>
    <col min="5" max="5" width="91.5703125" customWidth="1"/>
    <col min="6" max="26" width="8.7109375" customWidth="1"/>
  </cols>
  <sheetData>
    <row r="1" spans="1:5" ht="14.25" customHeight="1" x14ac:dyDescent="0.25">
      <c r="A1" s="3"/>
      <c r="B1" s="3" t="s">
        <v>6</v>
      </c>
      <c r="C1" s="3" t="s">
        <v>7</v>
      </c>
      <c r="D1" s="3" t="s">
        <v>8</v>
      </c>
      <c r="E1" s="3"/>
    </row>
    <row r="2" spans="1:5" ht="14.25" customHeight="1" x14ac:dyDescent="0.25">
      <c r="A2" s="3" t="s">
        <v>9</v>
      </c>
      <c r="B2" s="3" t="s">
        <v>10</v>
      </c>
      <c r="C2" s="3">
        <v>1.5779000000000001</v>
      </c>
      <c r="D2" s="3" t="s">
        <v>11</v>
      </c>
      <c r="E2" s="4" t="s">
        <v>12</v>
      </c>
    </row>
    <row r="3" spans="1:5" ht="14.25" customHeight="1" x14ac:dyDescent="0.25">
      <c r="A3" s="3" t="s">
        <v>13</v>
      </c>
      <c r="B3" s="3" t="s">
        <v>14</v>
      </c>
      <c r="C3" s="3">
        <v>12.7</v>
      </c>
      <c r="D3" s="3" t="s">
        <v>15</v>
      </c>
      <c r="E3" s="4" t="s">
        <v>16</v>
      </c>
    </row>
    <row r="4" spans="1:5" ht="14.25" customHeight="1" x14ac:dyDescent="0.25">
      <c r="A4" s="3" t="s">
        <v>17</v>
      </c>
      <c r="B4" s="3" t="s">
        <v>18</v>
      </c>
      <c r="C4" s="3">
        <v>2.2800000000000001E-4</v>
      </c>
      <c r="D4" s="3" t="s">
        <v>19</v>
      </c>
      <c r="E4" s="5" t="s">
        <v>20</v>
      </c>
    </row>
    <row r="5" spans="1:5" ht="14.25" customHeight="1" x14ac:dyDescent="0.25">
      <c r="A5" s="3" t="s">
        <v>21</v>
      </c>
      <c r="B5" s="3" t="s">
        <v>22</v>
      </c>
      <c r="C5" s="3">
        <v>2.7</v>
      </c>
      <c r="D5" s="3" t="s">
        <v>23</v>
      </c>
      <c r="E5" s="4" t="s">
        <v>24</v>
      </c>
    </row>
    <row r="6" spans="1:5" ht="14.25" hidden="1" customHeight="1" x14ac:dyDescent="0.25">
      <c r="A6" s="3" t="s">
        <v>25</v>
      </c>
      <c r="B6" s="3">
        <v>2E-3</v>
      </c>
      <c r="C6" s="3">
        <v>2E-3</v>
      </c>
      <c r="D6" s="3" t="s">
        <v>26</v>
      </c>
      <c r="E6" s="4" t="s">
        <v>27</v>
      </c>
    </row>
    <row r="7" spans="1:5" ht="14.25" hidden="1" customHeight="1" x14ac:dyDescent="0.25">
      <c r="A7" s="6" t="s">
        <v>28</v>
      </c>
      <c r="B7" s="7">
        <v>0.02</v>
      </c>
      <c r="C7" s="6">
        <v>0.02</v>
      </c>
      <c r="D7" s="7" t="s">
        <v>26</v>
      </c>
      <c r="E7" s="8" t="s">
        <v>27</v>
      </c>
    </row>
    <row r="8" spans="1:5" ht="14.25" customHeight="1" x14ac:dyDescent="0.25">
      <c r="A8" s="9" t="s">
        <v>29</v>
      </c>
      <c r="B8" s="9" t="s">
        <v>30</v>
      </c>
      <c r="C8" s="9">
        <v>0.14000000000000001</v>
      </c>
      <c r="D8" s="9" t="s">
        <v>31</v>
      </c>
      <c r="E8" s="10" t="s">
        <v>32</v>
      </c>
    </row>
    <row r="9" spans="1:5" ht="14.25" customHeight="1" x14ac:dyDescent="0.25">
      <c r="A9" s="11" t="s">
        <v>33</v>
      </c>
      <c r="B9" s="11" t="s">
        <v>34</v>
      </c>
      <c r="C9" s="11">
        <v>1412586.6688999999</v>
      </c>
      <c r="D9" s="12" t="s">
        <v>35</v>
      </c>
      <c r="E9" s="13" t="s">
        <v>36</v>
      </c>
    </row>
    <row r="10" spans="1:5" ht="14.25" customHeight="1" x14ac:dyDescent="0.25">
      <c r="A10" s="7" t="s">
        <v>37</v>
      </c>
      <c r="B10" s="7">
        <v>24900</v>
      </c>
      <c r="C10" s="14"/>
    </row>
    <row r="11" spans="1:5" ht="14.25" customHeight="1" x14ac:dyDescent="0.25">
      <c r="E11" s="7">
        <f>350/2500</f>
        <v>0.14000000000000001</v>
      </c>
    </row>
    <row r="12" spans="1:5" ht="14.25" customHeight="1" x14ac:dyDescent="0.25"/>
    <row r="13" spans="1:5" ht="14.25" customHeight="1" x14ac:dyDescent="0.25">
      <c r="A13" s="14">
        <f>Calculator!B15/Calculations!B10</f>
        <v>3.6990065525258928</v>
      </c>
      <c r="B13" s="7" t="s">
        <v>38</v>
      </c>
    </row>
    <row r="14" spans="1:5" ht="14.25" customHeight="1" x14ac:dyDescent="0.25"/>
    <row r="15" spans="1:5" ht="14.25" customHeight="1" x14ac:dyDescent="0.25">
      <c r="A15" s="7" t="s">
        <v>39</v>
      </c>
      <c r="B15" s="7">
        <v>7.83</v>
      </c>
      <c r="D15" s="7" t="s">
        <v>40</v>
      </c>
    </row>
    <row r="16" spans="1:5" ht="14.25" customHeight="1" x14ac:dyDescent="0.25">
      <c r="A16" s="7" t="s">
        <v>41</v>
      </c>
      <c r="B16" s="7" t="s">
        <v>42</v>
      </c>
      <c r="C16" s="7">
        <v>1.70607082E-2</v>
      </c>
      <c r="E16" s="15" t="s">
        <v>43</v>
      </c>
    </row>
    <row r="17" spans="4:4" ht="14.25" customHeight="1" x14ac:dyDescent="0.25"/>
    <row r="18" spans="4:4" ht="14.25" customHeight="1" x14ac:dyDescent="0.25">
      <c r="D18" s="16"/>
    </row>
    <row r="19" spans="4:4" ht="14.25" customHeight="1" x14ac:dyDescent="0.25"/>
    <row r="20" spans="4:4" ht="14.25" customHeight="1" x14ac:dyDescent="0.25"/>
    <row r="21" spans="4:4" ht="14.25" customHeight="1" x14ac:dyDescent="0.25"/>
    <row r="22" spans="4:4" ht="14.25" customHeight="1" x14ac:dyDescent="0.25"/>
    <row r="23" spans="4:4" ht="14.25" customHeight="1" x14ac:dyDescent="0.25"/>
    <row r="24" spans="4:4" ht="14.25" customHeight="1" x14ac:dyDescent="0.25"/>
    <row r="25" spans="4:4" ht="14.25" customHeight="1" x14ac:dyDescent="0.25"/>
    <row r="26" spans="4:4" ht="14.25" customHeight="1" x14ac:dyDescent="0.25"/>
    <row r="27" spans="4:4" ht="14.25" customHeight="1" x14ac:dyDescent="0.25"/>
    <row r="28" spans="4:4" ht="14.25" customHeight="1" x14ac:dyDescent="0.25"/>
    <row r="29" spans="4:4" ht="14.25" customHeight="1" x14ac:dyDescent="0.25"/>
    <row r="30" spans="4:4" ht="14.25" customHeight="1" x14ac:dyDescent="0.25"/>
    <row r="31" spans="4:4" ht="14.25" customHeight="1" x14ac:dyDescent="0.25"/>
    <row r="32" spans="4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D9" r:id="rId8" xr:uid="{00000000-0004-0000-0100-000007000000}"/>
    <hyperlink ref="E9" r:id="rId9" xr:uid="{00000000-0004-0000-0100-000008000000}"/>
    <hyperlink ref="E16" r:id="rId10" xr:uid="{00000000-0004-0000-0100-000009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Calculator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Leake</dc:creator>
  <cp:lastModifiedBy>steve pointon</cp:lastModifiedBy>
  <dcterms:created xsi:type="dcterms:W3CDTF">2015-06-05T18:17:20Z</dcterms:created>
  <dcterms:modified xsi:type="dcterms:W3CDTF">2026-01-31T15:35:11Z</dcterms:modified>
</cp:coreProperties>
</file>